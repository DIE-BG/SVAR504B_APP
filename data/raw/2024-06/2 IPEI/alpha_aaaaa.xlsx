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06\2 IPEI\"/>
    </mc:Choice>
  </mc:AlternateContent>
  <xr:revisionPtr revIDLastSave="0" documentId="13_ncr:1_{91A353EE-281A-4DF5-9035-5A3385CF9843}" xr6:coauthVersionLast="36" xr6:coauthVersionMax="36" xr10:uidLastSave="{00000000-0000-0000-0000-000000000000}"/>
  <bookViews>
    <workbookView xWindow="0" yWindow="0" windowWidth="19608" windowHeight="9600" activeTab="1" xr2:uid="{2A3CEBF8-3324-46A4-BFBD-CD3B86EF07DA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G5" i="2"/>
  <c r="F5" i="2"/>
  <c r="E5" i="2"/>
  <c r="D5" i="2"/>
  <c r="C5" i="2"/>
  <c r="B3" i="1" l="1"/>
  <c r="B2" i="1"/>
  <c r="M5" i="1"/>
  <c r="N5" i="1"/>
  <c r="C5" i="1" l="1"/>
  <c r="D5" i="1" l="1"/>
  <c r="E5" i="1"/>
  <c r="F5" i="1"/>
  <c r="G5" i="1"/>
  <c r="H5" i="1"/>
  <c r="I5" i="1"/>
  <c r="J5" i="1"/>
  <c r="K5" i="1"/>
  <c r="L5" i="1"/>
</calcChain>
</file>

<file path=xl/sharedStrings.xml><?xml version="1.0" encoding="utf-8"?>
<sst xmlns="http://schemas.openxmlformats.org/spreadsheetml/2006/main" count="23" uniqueCount="16">
  <si>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</si>
  <si>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</si>
  <si>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</si>
  <si>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</si>
  <si>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</si>
  <si>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</si>
  <si>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</si>
  <si>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</si>
  <si>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</si>
  <si>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</si>
  <si>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</si>
  <si>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ESTADOS UNIDOS DE AMERICA</t>
  </si>
  <si>
    <t>Noviembre</t>
  </si>
  <si>
    <t>Diciembre</t>
  </si>
  <si>
    <t>Alpha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</si>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</sst>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87B-0748-4BA1-ACE7-CC5E20C3CD16}">
  <dimension ref="A1:N5"/>
  <sheetViews>
    <sheetView workbookViewId="0">
      <selection activeCell="N5" sqref="N5"/>
    </sheetView>
  </sheetViews>
  <sheetFormatPr baseColWidth="10" defaultRowHeight="14.4" x14ac:dyDescent="0.3"/>
  <cols>
    <col min="2" max="2" width="13.6640625" bestFit="1" customWidth="1"/>
    <col min="3" max="12" width="12.6640625" bestFit="1" customWidth="1"/>
    <col min="13" max="13" width="12.88671875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3">
      <c r="B2" s="1">
        <f>SUM(C2:N2)</f>
        <v>30318455021</v>
      </c>
      <c r="C2" s="1">
        <v>2568469126</v>
      </c>
      <c r="D2" s="1">
        <v>2191543823</v>
      </c>
      <c r="E2" s="1">
        <v>2579505760</v>
      </c>
      <c r="F2" s="1">
        <v>2268945399</v>
      </c>
      <c r="G2" s="1">
        <v>2716973746</v>
      </c>
      <c r="H2" s="1">
        <v>2618295767</v>
      </c>
      <c r="I2" s="1">
        <v>2548609936</v>
      </c>
      <c r="J2" s="1">
        <v>2695151397</v>
      </c>
      <c r="K2" s="1">
        <v>2496948361</v>
      </c>
      <c r="L2" s="1">
        <v>2502290083</v>
      </c>
      <c r="M2" s="1">
        <v>2714710779</v>
      </c>
      <c r="N2">
        <v>2417010844</v>
      </c>
    </row>
    <row r="3" spans="1:14" x14ac:dyDescent="0.3">
      <c r="A3" t="s">
        <v>11</v>
      </c>
      <c r="B3" s="1">
        <f>SUM(C3:N3)</f>
        <v>10190016522</v>
      </c>
      <c r="C3" s="1">
        <v>885818812</v>
      </c>
      <c r="D3" s="1">
        <v>809896280</v>
      </c>
      <c r="E3" s="1">
        <v>913097945</v>
      </c>
      <c r="F3" s="1">
        <v>797943542</v>
      </c>
      <c r="G3" s="1">
        <v>916150613</v>
      </c>
      <c r="H3" s="1">
        <v>848982396</v>
      </c>
      <c r="I3" s="1">
        <v>785114872</v>
      </c>
      <c r="J3" s="1">
        <v>934070612</v>
      </c>
      <c r="K3" s="1">
        <v>776413243</v>
      </c>
      <c r="L3" s="1">
        <v>855509454</v>
      </c>
      <c r="M3" s="1">
        <v>877328346</v>
      </c>
      <c r="N3">
        <v>789690407</v>
      </c>
    </row>
    <row r="5" spans="1:14" x14ac:dyDescent="0.3">
      <c r="A5" t="s">
        <v>14</v>
      </c>
      <c r="C5">
        <f>C3/C2</f>
        <v>0.34488201669744345</v>
      </c>
      <c r="D5">
        <f t="shared" ref="D5:L5" si="0">D3/D2</f>
        <v>0.36955513802655088</v>
      </c>
      <c r="E5">
        <f t="shared" si="0"/>
        <v>0.35398174299870533</v>
      </c>
      <c r="F5">
        <f t="shared" si="0"/>
        <v>0.35168036319943191</v>
      </c>
      <c r="G5">
        <f t="shared" si="0"/>
        <v>0.33719523950085312</v>
      </c>
      <c r="H5">
        <f t="shared" si="0"/>
        <v>0.32424999753666101</v>
      </c>
      <c r="I5">
        <f t="shared" si="0"/>
        <v>0.30805611361314256</v>
      </c>
      <c r="J5">
        <f t="shared" si="0"/>
        <v>0.34657444959853584</v>
      </c>
      <c r="K5">
        <f t="shared" si="0"/>
        <v>0.31094485377705416</v>
      </c>
      <c r="L5">
        <f t="shared" si="0"/>
        <v>0.34189059846104181</v>
      </c>
      <c r="M5">
        <f>M3/M2</f>
        <v>0.32317562253286358</v>
      </c>
      <c r="N5">
        <f>N3/N2</f>
        <v>0.32672191312684074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EF7-A3B8-4876-BA20-08F8B3188ADB}">
  <dimension ref="A1:G5"/>
  <sheetViews>
    <sheetView tabSelected="1" workbookViewId="0">
      <selection activeCell="C5" sqref="C5:G5"/>
    </sheetView>
  </sheetViews>
  <sheetFormatPr baseColWidth="10" defaultRowHeight="14.4" x14ac:dyDescent="0.3"/>
  <cols>
    <col min="2" max="2" width="14.109375" customWidth="1"/>
    <col min="3" max="3" width="13.44140625" customWidth="1"/>
    <col min="4" max="4" width="14" customWidth="1"/>
    <col min="5" max="5" width="14.33203125" customWidth="1"/>
    <col min="6" max="6" width="15.109375" customWidth="1"/>
    <col min="7" max="7" width="14.21875" customWidth="1"/>
  </cols>
  <sheetData>
    <row r="1" spans="1:7" x14ac:dyDescent="0.3"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B2" s="1">
        <v>13322046283</v>
      </c>
      <c r="C2" s="1">
        <v>2673719284</v>
      </c>
      <c r="D2" s="1">
        <v>2555955221</v>
      </c>
      <c r="E2" s="1">
        <v>2431403838</v>
      </c>
      <c r="F2" s="1">
        <v>2853203858</v>
      </c>
      <c r="G2" s="1">
        <v>2807764082</v>
      </c>
    </row>
    <row r="3" spans="1:7" x14ac:dyDescent="0.3">
      <c r="A3" t="s">
        <v>11</v>
      </c>
      <c r="B3" s="1">
        <v>4557236404</v>
      </c>
      <c r="C3" s="1">
        <v>828913861</v>
      </c>
      <c r="D3" s="1">
        <v>965893265</v>
      </c>
      <c r="E3" s="1">
        <v>847824203</v>
      </c>
      <c r="F3" s="1">
        <v>973797556</v>
      </c>
      <c r="G3" s="1">
        <v>940807519</v>
      </c>
    </row>
    <row r="5" spans="1:7" x14ac:dyDescent="0.3">
      <c r="A5" t="s">
        <v>14</v>
      </c>
      <c r="B5">
        <f>AVERAGE(C5:G5)</f>
        <v>0.34259850987651708</v>
      </c>
      <c r="C5">
        <f>C3/C2</f>
        <v>0.31002277088711755</v>
      </c>
      <c r="D5">
        <f>D3/D2</f>
        <v>0.37789913417266396</v>
      </c>
      <c r="E5">
        <f>E3/E2</f>
        <v>0.3486974026072916</v>
      </c>
      <c r="F5">
        <f>F3/F2</f>
        <v>0.3412996772977166</v>
      </c>
      <c r="G5">
        <f>G3/G2</f>
        <v>0.33507356441779568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Roger Ortíz Cardona</dc:creator>
  <cp:lastModifiedBy>Diego Rafael Cienfuegos Marroquín</cp:lastModifiedBy>
  <dcterms:created xsi:type="dcterms:W3CDTF">2023-12-20T17:08:40Z</dcterms:created>
  <dcterms:modified xsi:type="dcterms:W3CDTF">2024-08-14T14:17:52Z</dcterms:modified>
</cp:coreProperties>
</file>